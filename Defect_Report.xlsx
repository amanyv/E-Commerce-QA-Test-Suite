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 Lo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<sst xmlns="http://schemas.openxmlformats.org/spreadsheetml/2006/main" count="218" uniqueCount="151">
  <si>
    <t xml:space="preserve">Bug ID</t>
  </si>
  <si>
    <t xml:space="preserve">Title</t>
  </si>
  <si>
    <t xml:space="preserve">Module</t>
  </si>
  <si>
    <t xml:space="preserve">Severity</t>
  </si>
  <si>
    <t xml:space="preserve">Priority</t>
  </si>
  <si>
    <t xml:space="preserve">Environment / Browser</t>
  </si>
  <si>
    <t xml:space="preserve">Steps to Reproduce</t>
  </si>
  <si>
    <t xml:space="preserve">Expected Result</t>
  </si>
  <si>
    <t xml:space="preserve">Actual Result</t>
  </si>
  <si>
    <t xml:space="preserve">Status</t>
  </si>
  <si>
    <t xml:space="preserve">Date Reported</t>
  </si>
  <si>
    <t xml:space="preserve">Screenshot Ref.</t>
  </si>
  <si>
    <t xml:space="preserve">BUG-01</t>
  </si>
  <si>
    <t xml:space="preserve">Cart quantity does not cap at available stock</t>
  </si>
  <si>
    <t xml:space="preserve">Cart</t>
  </si>
  <si>
    <t xml:space="preserve">High</t>
  </si>
  <si>
    <t xml:space="preserve">P2</t>
  </si>
  <si>
    <t xml:space="preserve">Firefox 120 / Windows 11</t>
  </si>
  <si>
    <t xml:space="preserve">1. Open a product with 5 units in stock
2. Add to cart
3. In cart, increase quantity to 10
4. Proceed to checkout</t>
  </si>
  <si>
    <t xml:space="preserve">Quantity should be capped at 5 (available stock) with a warning message</t>
  </si>
  <si>
    <t xml:space="preserve">Cart accepts quantity of 10 and allows checkout to proceed with an over-stock order</t>
  </si>
  <si>
    <t xml:space="preserve">Open</t>
  </si>
  <si>
    <t xml:space="preserve">2023-04-11</t>
  </si>
  <si>
    <t xml:space="preserve">screenshots/BUG-01_cart_overstock.png</t>
  </si>
  <si>
    <t xml:space="preserve">BUG-02</t>
  </si>
  <si>
    <t xml:space="preserve">Double-click on 'Place Order' creates duplicate orders</t>
  </si>
  <si>
    <t xml:space="preserve">Checkout</t>
  </si>
  <si>
    <t xml:space="preserve">Critical</t>
  </si>
  <si>
    <t xml:space="preserve">P1</t>
  </si>
  <si>
    <t xml:space="preserve">1. Fill valid shipping and payment details at checkout
2. Rapidly double-click 'Place Order' button</t>
  </si>
  <si>
    <t xml:space="preserve">Only one order should be created; button should disable after first click</t>
  </si>
  <si>
    <t xml:space="preserve">Two identical orders are created and both are charged to the test card</t>
  </si>
  <si>
    <t xml:space="preserve">Fixed</t>
  </si>
  <si>
    <t xml:space="preserve">2023-04-12</t>
  </si>
  <si>
    <t xml:space="preserve">screenshots/BUG-02_duplicate_order.png</t>
  </si>
  <si>
    <t xml:space="preserve">BUG-03</t>
  </si>
  <si>
    <t xml:space="preserve">Account lockout counter resets on page refresh</t>
  </si>
  <si>
    <t xml:space="preserve">Login</t>
  </si>
  <si>
    <t xml:space="preserve">1. Attempt login with wrong password 4 times
2. Refresh the login page
3. Attempt wrong password again</t>
  </si>
  <si>
    <t xml:space="preserve">Failed attempt count should persist server-side; lockout should trigger at the 5th cumulative attempt</t>
  </si>
  <si>
    <t xml:space="preserve">Refreshing the page resets the client-side attempt counter, allowing unlimited brute-force attempts</t>
  </si>
  <si>
    <t xml:space="preserve">2023-04-13</t>
  </si>
  <si>
    <t xml:space="preserve">screenshots/BUG-03_lockout_bypass.png</t>
  </si>
  <si>
    <t xml:space="preserve">BUG-04</t>
  </si>
  <si>
    <t xml:space="preserve">Product images fail to lazy-load on slow network (Edge)</t>
  </si>
  <si>
    <t xml:space="preserve">Product Search</t>
  </si>
  <si>
    <t xml:space="preserve">Medium</t>
  </si>
  <si>
    <t xml:space="preserve">P3</t>
  </si>
  <si>
    <t xml:space="preserve">Edge 122 / Windows 11 (throttled to Slow 3G)</t>
  </si>
  <si>
    <t xml:space="preserve">1. Throttle network to Slow 3G in dev tools
2. Search for products
3. Scroll through results</t>
  </si>
  <si>
    <t xml:space="preserve">Placeholder should show while image loads, then swap to actual image</t>
  </si>
  <si>
    <t xml:space="preserve">Broken image icon remains permanently for ~30% of results</t>
  </si>
  <si>
    <t xml:space="preserve">Retest</t>
  </si>
  <si>
    <t xml:space="preserve">2023-04-14</t>
  </si>
  <si>
    <t xml:space="preserve">screenshots/BUG-04_lazyload_edge.png</t>
  </si>
  <si>
    <t xml:space="preserve">BUG-05</t>
  </si>
  <si>
    <t xml:space="preserve">Special characters in search query cause server error</t>
  </si>
  <si>
    <t xml:space="preserve">1. Enter '%$#@!' into the search bar
2. Press Enter</t>
  </si>
  <si>
    <t xml:space="preserve">Search should return 'No results found' gracefully</t>
  </si>
  <si>
    <t xml:space="preserve">Application throws HTTP 500 and displays a generic error page</t>
  </si>
  <si>
    <t xml:space="preserve">2023-04-15</t>
  </si>
  <si>
    <t xml:space="preserve">screenshots/BUG-05_search_500.png</t>
  </si>
  <si>
    <t xml:space="preserve">BUG-06</t>
  </si>
  <si>
    <t xml:space="preserve">Checkout tax not recalculated when shipping address is edited</t>
  </si>
  <si>
    <t xml:space="preserve">Chrome 122 / macOS 14</t>
  </si>
  <si>
    <t xml:space="preserve">1. Add item to cart and proceed to checkout
2. Enter shipping address in Region A
3. Edit address to Region B (different tax rate)
4. Review order summary</t>
  </si>
  <si>
    <t xml:space="preserve">Tax should update to reflect Region B's rate</t>
  </si>
  <si>
    <t xml:space="preserve">Order summary retains the tax amount calculated for Region A</t>
  </si>
  <si>
    <t xml:space="preserve">2023-04-16</t>
  </si>
  <si>
    <t xml:space="preserve">screenshots/BUG-06_stale_tax.png</t>
  </si>
  <si>
    <t xml:space="preserve">BUG-07</t>
  </si>
  <si>
    <t xml:space="preserve">Password mismatch error not shown until field loses focus (Edge)</t>
  </si>
  <si>
    <t xml:space="preserve">Registration</t>
  </si>
  <si>
    <t xml:space="preserve">Edge 122 / Windows 11</t>
  </si>
  <si>
    <t xml:space="preserve">1. Enter Password and a different Confirm Password
2. Click 'Create Account' immediately without clicking elsewhere</t>
  </si>
  <si>
    <t xml:space="preserve">Inline validation error should appear immediately on submit attempt</t>
  </si>
  <si>
    <t xml:space="preserve">No error is shown until the Confirm Password field loses focus (blur event), so first submit click appears to silently fail</t>
  </si>
  <si>
    <t xml:space="preserve">2023-04-17</t>
  </si>
  <si>
    <t xml:space="preserve">screenshots/BUG-07_pwd_mismatch_edge.png</t>
  </si>
  <si>
    <t xml:space="preserve">BUG-08</t>
  </si>
  <si>
    <t xml:space="preserve">Cart allows checkout with quantity exceeding stock</t>
  </si>
  <si>
    <t xml:space="preserve">1. Set cart quantity above available stock (see BUG-01)
2. Proceed through checkout and place order</t>
  </si>
  <si>
    <t xml:space="preserve">Checkout should block or adjust quantity before payment</t>
  </si>
  <si>
    <t xml:space="preserve">Order is placed successfully for a quantity the warehouse cannot fulfill</t>
  </si>
  <si>
    <t xml:space="preserve">2023-04-18</t>
  </si>
  <si>
    <t xml:space="preserve">screenshots/BUG-08_checkout_overstock.png</t>
  </si>
  <si>
    <t xml:space="preserve">BUG-09</t>
  </si>
  <si>
    <t xml:space="preserve">'Remember Me' session not persisted after browser restart</t>
  </si>
  <si>
    <t xml:space="preserve">1. Login with 'Remember Me' checked
2. Fully close the browser
3. Reopen and navigate to the site</t>
  </si>
  <si>
    <t xml:space="preserve">User should remain logged in</t>
  </si>
  <si>
    <t xml:space="preserve">User is logged out and must sign in again</t>
  </si>
  <si>
    <t xml:space="preserve">2023-04-19</t>
  </si>
  <si>
    <t xml:space="preserve">screenshots/BUG-09_remember_me_edge.png</t>
  </si>
  <si>
    <t xml:space="preserve">BUG-10</t>
  </si>
  <si>
    <t xml:space="preserve">API: /orders returns 200 with an empty items array on invalid order ID</t>
  </si>
  <si>
    <t xml:space="preserve">API - Orders</t>
  </si>
  <si>
    <t xml:space="preserve">Postman (API layer)</t>
  </si>
  <si>
    <t xml:space="preserve">1. Send GET /api/orders/{invalid_id}
2. Inspect response</t>
  </si>
  <si>
    <t xml:space="preserve">Should return HTTP 404 with a structured error payload</t>
  </si>
  <si>
    <t xml:space="preserve">Returns HTTP 200 with 'items: []', masking the fact that the order does not exist</t>
  </si>
  <si>
    <t xml:space="preserve">2023-04-20</t>
  </si>
  <si>
    <t xml:space="preserve">n/a - API response logged in Postman console</t>
  </si>
  <si>
    <t xml:space="preserve">BUG-11</t>
  </si>
  <si>
    <t xml:space="preserve">Unsanitized special characters accepted in registration name field</t>
  </si>
  <si>
    <t xml:space="preserve">Low</t>
  </si>
  <si>
    <t xml:space="preserve">P4</t>
  </si>
  <si>
    <t xml:space="preserve">1. Enter '@#$%Test' in the Name field during registration
2. Submit</t>
  </si>
  <si>
    <t xml:space="preserve">Field should reject or sanitize special characters per spec</t>
  </si>
  <si>
    <t xml:space="preserve">Name is stored and displayed as-is with unsanitized symbols, including in order confirmation emails</t>
  </si>
  <si>
    <t xml:space="preserve">2023-04-21</t>
  </si>
  <si>
    <t xml:space="preserve">screenshots/BUG-11_name_sanitization.png</t>
  </si>
  <si>
    <t xml:space="preserve">BUG-12</t>
  </si>
  <si>
    <t xml:space="preserve">Search filters reset on browser back navigation</t>
  </si>
  <si>
    <t xml:space="preserve">Firefox 120, Edge 122 / Windows 11</t>
  </si>
  <si>
    <t xml:space="preserve">1. Perform a search and apply category + price filters
2. Click into a product
3. Click the browser Back button</t>
  </si>
  <si>
    <t xml:space="preserve">Previously applied filters and scroll position should be retained</t>
  </si>
  <si>
    <t xml:space="preserve">All filters are cleared and the page scrolls back to top, forcing the user to re-filter</t>
  </si>
  <si>
    <t xml:space="preserve">2023-04-22</t>
  </si>
  <si>
    <t xml:space="preserve">screenshots/BUG-12_filters_reset.png</t>
  </si>
  <si>
    <t xml:space="preserve">BUG-13</t>
  </si>
  <si>
    <t xml:space="preserve">Guest cart is cleared instead of merged after login</t>
  </si>
  <si>
    <t xml:space="preserve">1. As a guest, add 2 items to cart
2. Log in with an existing account that has an empty cart
3. Check cart contents</t>
  </si>
  <si>
    <t xml:space="preserve">Guest cart items should merge into the logged-in user's cart</t>
  </si>
  <si>
    <t xml:space="preserve">Guest cart items are lost; user's cart shows 0 items after login</t>
  </si>
  <si>
    <t xml:space="preserve">2023-04-23</t>
  </si>
  <si>
    <t xml:space="preserve">screenshots/BUG-13_cart_merge.png</t>
  </si>
  <si>
    <t xml:space="preserve">BUG-14</t>
  </si>
  <si>
    <t xml:space="preserve">Submit button missing visible focus outline (keyboard nav)</t>
  </si>
  <si>
    <t xml:space="preserve">1. Tab through the registration form using only the keyboard
2. Reach the 'Create Account' button</t>
  </si>
  <si>
    <t xml:space="preserve">A visible focus indicator (outline/highlight) should appear per WCAG 2.1 AA</t>
  </si>
  <si>
    <t xml:space="preserve">No visible focus state is rendered on the submit button, failing accessibility guidelines</t>
  </si>
  <si>
    <t xml:space="preserve">2023-04-24</t>
  </si>
  <si>
    <t xml:space="preserve">screenshots/BUG-14_focus_outline.png</t>
  </si>
  <si>
    <t xml:space="preserve">BUG-15</t>
  </si>
  <si>
    <t xml:space="preserve">API: POST /auth/login returns inconsistent error schema</t>
  </si>
  <si>
    <t xml:space="preserve">API - Auth</t>
  </si>
  <si>
    <t xml:space="preserve">1. Send POST /api/auth/login with an incorrect password
2. Send POST /api/auth/login with a malformed request body
3. Compare response payload shapes</t>
  </si>
  <si>
    <t xml:space="preserve">Both error cases should return a consistent { error: { code, message } } schema</t>
  </si>
  <si>
    <t xml:space="preserve">Incorrect password returns { message: string }, while malformed body returns { errors: [string] } — inconsistent shape breaks client-side error handling</t>
  </si>
  <si>
    <t xml:space="preserve">2023-04-25</t>
  </si>
  <si>
    <t xml:space="preserve">BUG-16</t>
  </si>
  <si>
    <t xml:space="preserve">Inventory count not decremented for orders paid via saved card</t>
  </si>
  <si>
    <t xml:space="preserve">1. Note stock for a product (e.g., 10 units)
2. Checkout using a previously saved card
3. Recheck stock</t>
  </si>
  <si>
    <t xml:space="preserve">Stock should decrement by the ordered quantity, same as a new-card checkout</t>
  </si>
  <si>
    <t xml:space="preserve">Stock remains unchanged when checkout is completed with a saved card; only new-card checkouts trigger the decrement</t>
  </si>
  <si>
    <t xml:space="preserve">2023-04-26</t>
  </si>
  <si>
    <t xml:space="preserve">screenshots/BUG-16_inventory_saved_card.png</t>
  </si>
  <si>
    <t xml:space="preserve">Defect Summary — Severity &amp; Status Breakdown</t>
  </si>
  <si>
    <t xml:space="preserve">Count</t>
  </si>
  <si>
    <t xml:space="preserve">Closed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</si>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</sst>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7A1F1F"/>
        <bgColor rgb="FF800000"/>
      </patternFill>
    </fill>
    <fill>
      <patternFill patternType="solid">
        <fgColor rgb="FFFFC000"/>
        <bgColor rgb="FFFF9900"/>
      </patternFill>
    </fill>
    <fill>
      <patternFill patternType="solid">
        <fgColor rgb="FFFCE4D6"/>
        <bgColor rgb="FFDDEBF7"/>
      </patternFill>
    </fill>
    <fill>
      <patternFill patternType="solid">
        <fgColor rgb="FFFF0000"/>
        <bgColor rgb="FF800000"/>
      </patternFill>
    </fill>
    <fill>
      <patternFill patternType="solid">
        <fgColor rgb="FFC6EFCE"/>
        <bgColor rgb="FFC6E0B4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D9D9"/>
      </patternFill>
    </fill>
    <fill>
      <patternFill patternType="solid">
        <fgColor rgb="FFC6E0B4"/>
        <bgColor rgb="FFC6EFCE"/>
      </patternFill>
    </fill>
    <fill>
      <patternFill patternType="solid">
        <fgColor rgb="FFD9D9D9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20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2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46.25" hidden="false" customHeight="false" outlineLevel="0" collapsed="false">
      <c r="A2" s="2" t="s">
        <v>12</v>
      </c>
      <c r="B2" s="2" t="s">
        <v>13</v>
      </c>
      <c r="C2" s="2" t="s">
        <v>14</v>
      </c>
      <c r="D2" s="3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4" t="s">
        <v>21</v>
      </c>
      <c r="K2" s="2" t="s">
        <v>22</v>
      </c>
      <c r="L2" s="2" t="s">
        <v>23</v>
      </c>
    </row>
    <row r="3" customFormat="false" ht="46.25" hidden="false" customHeight="false" outlineLevel="0" collapsed="false">
      <c r="A3" s="2" t="s">
        <v>24</v>
      </c>
      <c r="B3" s="2" t="s">
        <v>25</v>
      </c>
      <c r="C3" s="2" t="s">
        <v>26</v>
      </c>
      <c r="D3" s="5" t="s">
        <v>27</v>
      </c>
      <c r="E3" s="2" t="s">
        <v>28</v>
      </c>
      <c r="F3" s="2" t="s">
        <v>17</v>
      </c>
      <c r="G3" s="2" t="s">
        <v>29</v>
      </c>
      <c r="H3" s="2" t="s">
        <v>30</v>
      </c>
      <c r="I3" s="2" t="s">
        <v>31</v>
      </c>
      <c r="J3" s="6" t="s">
        <v>32</v>
      </c>
      <c r="K3" s="2" t="s">
        <v>33</v>
      </c>
      <c r="L3" s="2" t="s">
        <v>34</v>
      </c>
    </row>
    <row r="4" customFormat="false" ht="46.25" hidden="false" customHeight="false" outlineLevel="0" collapsed="false">
      <c r="A4" s="2" t="s">
        <v>35</v>
      </c>
      <c r="B4" s="2" t="s">
        <v>36</v>
      </c>
      <c r="C4" s="2" t="s">
        <v>37</v>
      </c>
      <c r="D4" s="5" t="s">
        <v>27</v>
      </c>
      <c r="E4" s="2" t="s">
        <v>28</v>
      </c>
      <c r="F4" s="2" t="s">
        <v>17</v>
      </c>
      <c r="G4" s="2" t="s">
        <v>38</v>
      </c>
      <c r="H4" s="2" t="s">
        <v>39</v>
      </c>
      <c r="I4" s="2" t="s">
        <v>40</v>
      </c>
      <c r="J4" s="4" t="s">
        <v>21</v>
      </c>
      <c r="K4" s="2" t="s">
        <v>41</v>
      </c>
      <c r="L4" s="2" t="s">
        <v>42</v>
      </c>
    </row>
    <row r="5" customFormat="false" ht="46.25" hidden="false" customHeight="false" outlineLevel="0" collapsed="false">
      <c r="A5" s="2" t="s">
        <v>43</v>
      </c>
      <c r="B5" s="2" t="s">
        <v>44</v>
      </c>
      <c r="C5" s="2" t="s">
        <v>45</v>
      </c>
      <c r="D5" s="7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8" t="s">
        <v>52</v>
      </c>
      <c r="K5" s="2" t="s">
        <v>53</v>
      </c>
      <c r="L5" s="2" t="s">
        <v>54</v>
      </c>
    </row>
    <row r="6" customFormat="false" ht="23.85" hidden="false" customHeight="false" outlineLevel="0" collapsed="false">
      <c r="A6" s="2" t="s">
        <v>55</v>
      </c>
      <c r="B6" s="2" t="s">
        <v>56</v>
      </c>
      <c r="C6" s="2" t="s">
        <v>45</v>
      </c>
      <c r="D6" s="5" t="s">
        <v>27</v>
      </c>
      <c r="E6" s="2" t="s">
        <v>28</v>
      </c>
      <c r="F6" s="2" t="s">
        <v>17</v>
      </c>
      <c r="G6" s="2" t="s">
        <v>57</v>
      </c>
      <c r="H6" s="2" t="s">
        <v>58</v>
      </c>
      <c r="I6" s="2" t="s">
        <v>59</v>
      </c>
      <c r="J6" s="6" t="s">
        <v>32</v>
      </c>
      <c r="K6" s="2" t="s">
        <v>60</v>
      </c>
      <c r="L6" s="2" t="s">
        <v>61</v>
      </c>
    </row>
    <row r="7" customFormat="false" ht="68.65" hidden="false" customHeight="false" outlineLevel="0" collapsed="false">
      <c r="A7" s="2" t="s">
        <v>62</v>
      </c>
      <c r="B7" s="2" t="s">
        <v>63</v>
      </c>
      <c r="C7" s="2" t="s">
        <v>26</v>
      </c>
      <c r="D7" s="3" t="s">
        <v>15</v>
      </c>
      <c r="E7" s="2" t="s">
        <v>16</v>
      </c>
      <c r="F7" s="2" t="s">
        <v>64</v>
      </c>
      <c r="G7" s="2" t="s">
        <v>65</v>
      </c>
      <c r="H7" s="2" t="s">
        <v>66</v>
      </c>
      <c r="I7" s="2" t="s">
        <v>67</v>
      </c>
      <c r="J7" s="4" t="s">
        <v>21</v>
      </c>
      <c r="K7" s="2" t="s">
        <v>68</v>
      </c>
      <c r="L7" s="2" t="s">
        <v>69</v>
      </c>
    </row>
    <row r="8" customFormat="false" ht="46.25" hidden="false" customHeight="false" outlineLevel="0" collapsed="false">
      <c r="A8" s="2" t="s">
        <v>70</v>
      </c>
      <c r="B8" s="2" t="s">
        <v>71</v>
      </c>
      <c r="C8" s="2" t="s">
        <v>72</v>
      </c>
      <c r="D8" s="7" t="s">
        <v>46</v>
      </c>
      <c r="E8" s="2" t="s">
        <v>47</v>
      </c>
      <c r="F8" s="2" t="s">
        <v>73</v>
      </c>
      <c r="G8" s="2" t="s">
        <v>74</v>
      </c>
      <c r="H8" s="2" t="s">
        <v>75</v>
      </c>
      <c r="I8" s="2" t="s">
        <v>76</v>
      </c>
      <c r="J8" s="8" t="s">
        <v>52</v>
      </c>
      <c r="K8" s="2" t="s">
        <v>77</v>
      </c>
      <c r="L8" s="2" t="s">
        <v>78</v>
      </c>
    </row>
    <row r="9" customFormat="false" ht="46.25" hidden="false" customHeight="false" outlineLevel="0" collapsed="false">
      <c r="A9" s="2" t="s">
        <v>79</v>
      </c>
      <c r="B9" s="2" t="s">
        <v>80</v>
      </c>
      <c r="C9" s="2" t="s">
        <v>14</v>
      </c>
      <c r="D9" s="3" t="s">
        <v>15</v>
      </c>
      <c r="E9" s="2" t="s">
        <v>16</v>
      </c>
      <c r="F9" s="2" t="s">
        <v>17</v>
      </c>
      <c r="G9" s="2" t="s">
        <v>81</v>
      </c>
      <c r="H9" s="2" t="s">
        <v>82</v>
      </c>
      <c r="I9" s="2" t="s">
        <v>83</v>
      </c>
      <c r="J9" s="4" t="s">
        <v>21</v>
      </c>
      <c r="K9" s="2" t="s">
        <v>84</v>
      </c>
      <c r="L9" s="2" t="s">
        <v>85</v>
      </c>
    </row>
    <row r="10" customFormat="false" ht="35.05" hidden="false" customHeight="false" outlineLevel="0" collapsed="false">
      <c r="A10" s="2" t="s">
        <v>86</v>
      </c>
      <c r="B10" s="2" t="s">
        <v>87</v>
      </c>
      <c r="C10" s="2" t="s">
        <v>37</v>
      </c>
      <c r="D10" s="7" t="s">
        <v>46</v>
      </c>
      <c r="E10" s="2" t="s">
        <v>47</v>
      </c>
      <c r="F10" s="2" t="s">
        <v>73</v>
      </c>
      <c r="G10" s="2" t="s">
        <v>88</v>
      </c>
      <c r="H10" s="2" t="s">
        <v>89</v>
      </c>
      <c r="I10" s="2" t="s">
        <v>90</v>
      </c>
      <c r="J10" s="4" t="s">
        <v>21</v>
      </c>
      <c r="K10" s="2" t="s">
        <v>91</v>
      </c>
      <c r="L10" s="2" t="s">
        <v>92</v>
      </c>
    </row>
    <row r="11" customFormat="false" ht="35.05" hidden="false" customHeight="false" outlineLevel="0" collapsed="false">
      <c r="A11" s="2" t="s">
        <v>93</v>
      </c>
      <c r="B11" s="2" t="s">
        <v>94</v>
      </c>
      <c r="C11" s="2" t="s">
        <v>95</v>
      </c>
      <c r="D11" s="7" t="s">
        <v>46</v>
      </c>
      <c r="E11" s="2" t="s">
        <v>47</v>
      </c>
      <c r="F11" s="2" t="s">
        <v>96</v>
      </c>
      <c r="G11" s="2" t="s">
        <v>97</v>
      </c>
      <c r="H11" s="2" t="s">
        <v>98</v>
      </c>
      <c r="I11" s="2" t="s">
        <v>99</v>
      </c>
      <c r="J11" s="4" t="s">
        <v>21</v>
      </c>
      <c r="K11" s="2" t="s">
        <v>100</v>
      </c>
      <c r="L11" s="2" t="s">
        <v>101</v>
      </c>
    </row>
    <row r="12" customFormat="false" ht="35.05" hidden="false" customHeight="false" outlineLevel="0" collapsed="false">
      <c r="A12" s="2" t="s">
        <v>102</v>
      </c>
      <c r="B12" s="2" t="s">
        <v>103</v>
      </c>
      <c r="C12" s="2" t="s">
        <v>72</v>
      </c>
      <c r="D12" s="9" t="s">
        <v>104</v>
      </c>
      <c r="E12" s="2" t="s">
        <v>105</v>
      </c>
      <c r="F12" s="2" t="s">
        <v>17</v>
      </c>
      <c r="G12" s="2" t="s">
        <v>106</v>
      </c>
      <c r="H12" s="2" t="s">
        <v>107</v>
      </c>
      <c r="I12" s="2" t="s">
        <v>108</v>
      </c>
      <c r="J12" s="4" t="s">
        <v>21</v>
      </c>
      <c r="K12" s="2" t="s">
        <v>109</v>
      </c>
      <c r="L12" s="2" t="s">
        <v>110</v>
      </c>
    </row>
    <row r="13" customFormat="false" ht="46.25" hidden="false" customHeight="false" outlineLevel="0" collapsed="false">
      <c r="A13" s="2" t="s">
        <v>111</v>
      </c>
      <c r="B13" s="2" t="s">
        <v>112</v>
      </c>
      <c r="C13" s="2" t="s">
        <v>45</v>
      </c>
      <c r="D13" s="7" t="s">
        <v>46</v>
      </c>
      <c r="E13" s="2" t="s">
        <v>47</v>
      </c>
      <c r="F13" s="2" t="s">
        <v>113</v>
      </c>
      <c r="G13" s="2" t="s">
        <v>114</v>
      </c>
      <c r="H13" s="2" t="s">
        <v>115</v>
      </c>
      <c r="I13" s="2" t="s">
        <v>116</v>
      </c>
      <c r="J13" s="4" t="s">
        <v>21</v>
      </c>
      <c r="K13" s="2" t="s">
        <v>117</v>
      </c>
      <c r="L13" s="2" t="s">
        <v>118</v>
      </c>
    </row>
    <row r="14" customFormat="false" ht="46.25" hidden="false" customHeight="false" outlineLevel="0" collapsed="false">
      <c r="A14" s="2" t="s">
        <v>119</v>
      </c>
      <c r="B14" s="2" t="s">
        <v>120</v>
      </c>
      <c r="C14" s="2" t="s">
        <v>14</v>
      </c>
      <c r="D14" s="3" t="s">
        <v>15</v>
      </c>
      <c r="E14" s="2" t="s">
        <v>16</v>
      </c>
      <c r="F14" s="2" t="s">
        <v>17</v>
      </c>
      <c r="G14" s="2" t="s">
        <v>121</v>
      </c>
      <c r="H14" s="2" t="s">
        <v>122</v>
      </c>
      <c r="I14" s="2" t="s">
        <v>123</v>
      </c>
      <c r="J14" s="6" t="s">
        <v>32</v>
      </c>
      <c r="K14" s="2" t="s">
        <v>124</v>
      </c>
      <c r="L14" s="2" t="s">
        <v>125</v>
      </c>
    </row>
    <row r="15" customFormat="false" ht="35.05" hidden="false" customHeight="false" outlineLevel="0" collapsed="false">
      <c r="A15" s="2" t="s">
        <v>126</v>
      </c>
      <c r="B15" s="2" t="s">
        <v>127</v>
      </c>
      <c r="C15" s="2" t="s">
        <v>72</v>
      </c>
      <c r="D15" s="9" t="s">
        <v>104</v>
      </c>
      <c r="E15" s="2" t="s">
        <v>105</v>
      </c>
      <c r="F15" s="2" t="s">
        <v>73</v>
      </c>
      <c r="G15" s="2" t="s">
        <v>128</v>
      </c>
      <c r="H15" s="2" t="s">
        <v>129</v>
      </c>
      <c r="I15" s="2" t="s">
        <v>130</v>
      </c>
      <c r="J15" s="4" t="s">
        <v>21</v>
      </c>
      <c r="K15" s="2" t="s">
        <v>131</v>
      </c>
      <c r="L15" s="2" t="s">
        <v>132</v>
      </c>
    </row>
    <row r="16" customFormat="false" ht="57.45" hidden="false" customHeight="false" outlineLevel="0" collapsed="false">
      <c r="A16" s="2" t="s">
        <v>133</v>
      </c>
      <c r="B16" s="2" t="s">
        <v>134</v>
      </c>
      <c r="C16" s="2" t="s">
        <v>135</v>
      </c>
      <c r="D16" s="7" t="s">
        <v>46</v>
      </c>
      <c r="E16" s="2" t="s">
        <v>47</v>
      </c>
      <c r="F16" s="2" t="s">
        <v>96</v>
      </c>
      <c r="G16" s="2" t="s">
        <v>136</v>
      </c>
      <c r="H16" s="2" t="s">
        <v>137</v>
      </c>
      <c r="I16" s="2" t="s">
        <v>138</v>
      </c>
      <c r="J16" s="8" t="s">
        <v>52</v>
      </c>
      <c r="K16" s="2" t="s">
        <v>139</v>
      </c>
      <c r="L16" s="2" t="s">
        <v>101</v>
      </c>
    </row>
    <row r="17" customFormat="false" ht="46.25" hidden="false" customHeight="false" outlineLevel="0" collapsed="false">
      <c r="A17" s="2" t="s">
        <v>140</v>
      </c>
      <c r="B17" s="2" t="s">
        <v>141</v>
      </c>
      <c r="C17" s="2" t="s">
        <v>26</v>
      </c>
      <c r="D17" s="3" t="s">
        <v>15</v>
      </c>
      <c r="E17" s="2" t="s">
        <v>16</v>
      </c>
      <c r="F17" s="2" t="s">
        <v>64</v>
      </c>
      <c r="G17" s="2" t="s">
        <v>142</v>
      </c>
      <c r="H17" s="2" t="s">
        <v>143</v>
      </c>
      <c r="I17" s="2" t="s">
        <v>144</v>
      </c>
      <c r="J17" s="4" t="s">
        <v>21</v>
      </c>
      <c r="K17" s="2" t="s">
        <v>145</v>
      </c>
      <c r="L17" s="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0" t="s">
        <v>147</v>
      </c>
      <c r="B1" s="10"/>
      <c r="C1" s="10"/>
    </row>
    <row r="3" customFormat="false" ht="15" hidden="false" customHeight="false" outlineLevel="0" collapsed="false">
      <c r="A3" s="11" t="s">
        <v>3</v>
      </c>
      <c r="B3" s="11" t="s">
        <v>148</v>
      </c>
    </row>
    <row r="4" customFormat="false" ht="15" hidden="false" customHeight="false" outlineLevel="0" collapsed="false">
      <c r="A4" s="12" t="s">
        <v>27</v>
      </c>
      <c r="B4" s="13" t="n">
        <f aca="false">COUNTIF('Defect Log'!D:D,"Critical")</f>
        <v>3</v>
      </c>
    </row>
    <row r="5" customFormat="false" ht="15" hidden="false" customHeight="false" outlineLevel="0" collapsed="false">
      <c r="A5" s="14" t="s">
        <v>15</v>
      </c>
      <c r="B5" s="13" t="n">
        <f aca="false">COUNTIF('Defect Log'!D:D,"High")</f>
        <v>5</v>
      </c>
    </row>
    <row r="6" customFormat="false" ht="15" hidden="false" customHeight="false" outlineLevel="0" collapsed="false">
      <c r="A6" s="15" t="s">
        <v>46</v>
      </c>
      <c r="B6" s="13" t="n">
        <f aca="false">COUNTIF('Defect Log'!D:D,"Medium")</f>
        <v>6</v>
      </c>
    </row>
    <row r="7" customFormat="false" ht="15" hidden="false" customHeight="false" outlineLevel="0" collapsed="false">
      <c r="A7" s="16" t="s">
        <v>104</v>
      </c>
      <c r="B7" s="13" t="n">
        <f aca="false">COUNTIF('Defect Log'!D:D,"Low")</f>
        <v>2</v>
      </c>
    </row>
    <row r="9" customFormat="false" ht="15" hidden="false" customHeight="false" outlineLevel="0" collapsed="false">
      <c r="A9" s="11" t="s">
        <v>9</v>
      </c>
      <c r="B9" s="11" t="s">
        <v>148</v>
      </c>
    </row>
    <row r="10" customFormat="false" ht="15" hidden="false" customHeight="false" outlineLevel="0" collapsed="false">
      <c r="A10" s="17" t="s">
        <v>21</v>
      </c>
      <c r="B10" s="13" t="n">
        <f aca="false">COUNTIF('Defect Log'!J:J,"Open")</f>
        <v>10</v>
      </c>
    </row>
    <row r="11" customFormat="false" ht="15" hidden="false" customHeight="false" outlineLevel="0" collapsed="false">
      <c r="A11" s="18" t="s">
        <v>32</v>
      </c>
      <c r="B11" s="13" t="n">
        <f aca="false">COUNTIF('Defect Log'!J:J,"Fixed")</f>
        <v>3</v>
      </c>
    </row>
    <row r="12" customFormat="false" ht="15" hidden="false" customHeight="false" outlineLevel="0" collapsed="false">
      <c r="A12" s="19" t="s">
        <v>52</v>
      </c>
      <c r="B12" s="13" t="n">
        <f aca="false">COUNTIF('Defect Log'!J:J,"Retest")</f>
        <v>3</v>
      </c>
    </row>
    <row r="13" customFormat="false" ht="15" hidden="false" customHeight="false" outlineLevel="0" collapsed="false">
      <c r="A13" s="20" t="s">
        <v>149</v>
      </c>
      <c r="B13" s="13" t="n">
        <f aca="false">COUNTIF('Defect Log'!J:J,"Closed")</f>
        <v>0</v>
      </c>
    </row>
    <row r="14" customFormat="false" ht="15" hidden="false" customHeight="false" outlineLevel="0" collapsed="false">
      <c r="A14" s="21" t="s">
        <v>150</v>
      </c>
      <c r="B14" s="21" t="n">
        <f aca="false">SUM(B4:B7)</f>
        <v>16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2026-09-16T07:35:38Z</dcterms:created>
  <dc:creator>openpyxl</dc:creator>
  <dc:description/>
  <dc:language>en-US</dc:language>
  <cp:lastModifiedBy/>
  <dcterms:modified xsi:type="dcterms:W3CDTF">2026-09-16T07:35:38Z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